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FD4907-D2C3-4732-915B-00B0F4EBBB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shboard" sheetId="1" r:id="rId1"/>
    <sheet name="Trading Journal" sheetId="2" r:id="rId2"/>
  </sheets>
  <definedNames>
    <definedName name="_xlnm._FilterDatabase" localSheetId="1" hidden="1">'Trading Journal'!$A$3:$I$23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2" l="1"/>
  <c r="B6" i="1" s="1"/>
  <c r="B35" i="2"/>
  <c r="C16" i="1" s="1"/>
  <c r="B34" i="2"/>
  <c r="C15" i="1" s="1"/>
  <c r="B32" i="2"/>
  <c r="C11" i="1" s="1"/>
  <c r="B30" i="2"/>
  <c r="C13" i="1" s="1"/>
  <c r="B29" i="2"/>
  <c r="C12" i="1" s="1"/>
  <c r="B28" i="2"/>
  <c r="C10" i="1" s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H4" i="2" s="1"/>
  <c r="H6" i="1"/>
  <c r="B31" i="2" l="1"/>
  <c r="C14" i="1" s="1"/>
  <c r="K6" i="1"/>
  <c r="H5" i="2"/>
  <c r="H6" i="2" l="1"/>
  <c r="H7" i="2" l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l="1"/>
  <c r="C17" i="1" s="1"/>
  <c r="E6" i="1" l="1"/>
  <c r="B33" i="2"/>
</calcChain>
</file>

<file path=xl/sharedStrings.xml><?xml version="1.0" encoding="utf-8"?>
<sst xmlns="http://schemas.openxmlformats.org/spreadsheetml/2006/main" count="35" uniqueCount="27">
  <si>
    <t>Ringkasan prestasi akaun harian Gold (XAUUSD), deposit, withdrawal, winrate, drawdown &amp; target guang.</t>
  </si>
  <si>
    <t>MODAL AWAL</t>
  </si>
  <si>
    <t>BALANCE AKHIR</t>
  </si>
  <si>
    <t>NET P/L ($)</t>
  </si>
  <si>
    <t>WINRATE (%)</t>
  </si>
  <si>
    <t>RINGKASAN &amp; METRIK UTAMA</t>
  </si>
  <si>
    <t>Jumlah Deposit ($)</t>
  </si>
  <si>
    <t>Jumlah Withdrawal ($)</t>
  </si>
  <si>
    <t>Jumlah Profit ($)</t>
  </si>
  <si>
    <t>Jumlah Loss ($)</t>
  </si>
  <si>
    <t>Net P/L ($)</t>
  </si>
  <si>
    <t>Jumlah Hari Profit</t>
  </si>
  <si>
    <t>Jumlah Hari Loss</t>
  </si>
  <si>
    <t>Max Drawdown ($)</t>
  </si>
  <si>
    <t>Hari</t>
  </si>
  <si>
    <t>Tarikh</t>
  </si>
  <si>
    <t>Deposit ($)</t>
  </si>
  <si>
    <t>Profit ($)</t>
  </si>
  <si>
    <t>Loss ($)</t>
  </si>
  <si>
    <t>Withdrawal ($)</t>
  </si>
  <si>
    <t>Balance ($)</t>
  </si>
  <si>
    <t>Notes</t>
  </si>
  <si>
    <t>RINGKASAN</t>
  </si>
  <si>
    <t>Modal Awal ($)</t>
  </si>
  <si>
    <t>Balance Akhir ($)</t>
  </si>
  <si>
    <t>GOLD TRADING JOURNAL OKTOBER</t>
  </si>
  <si>
    <t>GOLD TRADING DASHBOARD OKTOBER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</si>
</sst>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0.0&quot;%&quot;"/>
  </numFmts>
  <fonts count="12">
    <font>
      <sz val="11"/>
      <color rgb="FF000000"/>
      <name val="Calibri"/>
      <scheme val="minor"/>
    </font>
    <font>
      <b/>
      <sz val="16"/>
      <name val="Calibri"/>
    </font>
    <font>
      <b/>
      <sz val="11"/>
      <name val="Calibri"/>
    </font>
    <font>
      <sz val="11"/>
      <color rgb="FF000000"/>
      <name val="Calibri"/>
    </font>
    <font>
      <b/>
      <sz val="14"/>
      <name val="Calibri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0"/>
      <color rgb="FF595959"/>
      <name val="Calibri"/>
    </font>
    <font>
      <b/>
      <sz val="14"/>
      <color rgb="FF1F4E78"/>
      <name val="Calibri"/>
    </font>
    <font>
      <b/>
      <sz val="11"/>
      <name val="Calibri"/>
    </font>
    <font>
      <sz val="11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164" fontId="2" fillId="0" borderId="0" xfId="0" applyNumberFormat="1" applyFont="1"/>
    <xf numFmtId="0" fontId="5" fillId="0" borderId="0" xfId="0" applyFont="1"/>
    <xf numFmtId="0" fontId="6" fillId="0" borderId="0" xfId="0" applyFont="1"/>
    <xf numFmtId="0" fontId="9" fillId="0" borderId="2" xfId="0" applyFont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/>
    <xf numFmtId="164" fontId="8" fillId="3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0" borderId="0" xfId="0"/>
    <xf numFmtId="166" fontId="8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NumberFormat="1" applyFont="1"/>
    <xf numFmtId="164" fontId="10" fillId="0" borderId="4" xfId="0" applyNumberFormat="1" applyFont="1" applyBorder="1" applyAlignment="1">
      <alignment horizontal="right" vertical="center"/>
    </xf>
    <xf numFmtId="164" fontId="10" fillId="0" borderId="3" xfId="0" applyNumberFormat="1" applyFont="1" applyBorder="1" applyAlignment="1">
      <alignment horizontal="right" vertical="center"/>
    </xf>
    <xf numFmtId="3" fontId="10" fillId="0" borderId="4" xfId="0" applyNumberFormat="1" applyFont="1" applyBorder="1" applyAlignment="1">
      <alignment horizontal="right" vertical="center"/>
    </xf>
    <xf numFmtId="3" fontId="10" fillId="0" borderId="3" xfId="0" applyNumberFormat="1" applyFont="1" applyBorder="1" applyAlignment="1">
      <alignment horizontal="right" vertical="center"/>
    </xf>
    <xf numFmtId="0" fontId="11" fillId="4" borderId="5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Grafik Pertumbuhan Balance Gold (20 Hari)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'Trading Journal'!$H$3</c:f>
              <c:strCache>
                <c:ptCount val="1"/>
                <c:pt idx="0">
                  <c:v>Balance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'Trading Journal'!$A$4:$A$23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'Trading Journal'!$H$4:$H$23</c:f>
              <c:numCache>
                <c:formatCode>\$#,##0.00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0-4339-86AC-6F3D3D5C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Balance ($)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8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7"/>
  <sheetViews>
    <sheetView tabSelected="1" workbookViewId="0">
      <selection activeCell="D22" sqref="D22"/>
    </sheetView>
  </sheetViews>
  <sheetFormatPr defaultRowHeight="14.4"/>
  <cols>
    <col min="1" max="1" width="18" customWidth="1"/>
    <col min="2" max="2" width="19.77734375" customWidth="1"/>
    <col min="3" max="12" width="18" customWidth="1"/>
  </cols>
  <sheetData>
    <row r="2" spans="2:12" ht="21">
      <c r="B2" s="7" t="s">
        <v>26</v>
      </c>
    </row>
    <row r="3" spans="2:12">
      <c r="B3" s="8" t="s">
        <v>0</v>
      </c>
    </row>
    <row r="5" spans="2:12">
      <c r="B5" s="10" t="s">
        <v>1</v>
      </c>
      <c r="C5" s="10"/>
      <c r="E5" s="10" t="s">
        <v>2</v>
      </c>
      <c r="F5" s="11"/>
      <c r="H5" s="10" t="s">
        <v>3</v>
      </c>
      <c r="I5" s="11"/>
      <c r="K5" s="10" t="s">
        <v>4</v>
      </c>
      <c r="L5" s="11"/>
    </row>
    <row r="6" spans="2:12" ht="18">
      <c r="B6" s="12">
        <f>'Trading Journal'!B37</f>
        <v>0</v>
      </c>
      <c r="C6" s="12"/>
      <c r="E6" s="12">
        <f>'Trading Journal'!H23</f>
        <v>0</v>
      </c>
      <c r="F6" s="13"/>
      <c r="H6" s="12">
        <f>'Trading Journal'!F31</f>
        <v>0</v>
      </c>
      <c r="I6" s="13"/>
      <c r="K6" s="15">
        <f>( 'Trading Journal'!B34 / 20 ) * 100</f>
        <v>0</v>
      </c>
      <c r="L6" s="13"/>
    </row>
    <row r="9" spans="2:12" ht="15.6">
      <c r="B9" s="22" t="s">
        <v>5</v>
      </c>
      <c r="C9" s="22"/>
      <c r="D9" s="22"/>
    </row>
    <row r="10" spans="2:12">
      <c r="B10" s="9" t="s">
        <v>6</v>
      </c>
      <c r="C10" s="18">
        <f>'Trading Journal'!B28</f>
        <v>0</v>
      </c>
      <c r="D10" s="19"/>
    </row>
    <row r="11" spans="2:12">
      <c r="B11" s="9" t="s">
        <v>7</v>
      </c>
      <c r="C11" s="18">
        <f>'Trading Journal'!B32</f>
        <v>0</v>
      </c>
      <c r="D11" s="19"/>
    </row>
    <row r="12" spans="2:12">
      <c r="B12" s="9" t="s">
        <v>8</v>
      </c>
      <c r="C12" s="18">
        <f>'Trading Journal'!B29</f>
        <v>0</v>
      </c>
      <c r="D12" s="19"/>
    </row>
    <row r="13" spans="2:12">
      <c r="B13" s="9" t="s">
        <v>9</v>
      </c>
      <c r="C13" s="18">
        <f>'Trading Journal'!B30</f>
        <v>0</v>
      </c>
      <c r="D13" s="19"/>
    </row>
    <row r="14" spans="2:12">
      <c r="B14" s="9" t="s">
        <v>10</v>
      </c>
      <c r="C14" s="18">
        <f>'Trading Journal'!B31</f>
        <v>0</v>
      </c>
      <c r="D14" s="19"/>
    </row>
    <row r="15" spans="2:12">
      <c r="B15" s="9" t="s">
        <v>11</v>
      </c>
      <c r="C15" s="20">
        <f>'Trading Journal'!B34</f>
        <v>0</v>
      </c>
      <c r="D15" s="21"/>
    </row>
    <row r="16" spans="2:12">
      <c r="B16" s="9" t="s">
        <v>12</v>
      </c>
      <c r="C16" s="20">
        <f>'Trading Journal'!B35</f>
        <v>0</v>
      </c>
      <c r="D16" s="21"/>
    </row>
    <row r="17" spans="2:4">
      <c r="B17" s="9" t="s">
        <v>13</v>
      </c>
      <c r="C17" s="18">
        <f>MIN('Trading Journal'!H4:H23) - MAX('Trading Journal'!H4:H23)</f>
        <v>0</v>
      </c>
      <c r="D17" s="19"/>
    </row>
  </sheetData>
  <mergeCells count="17">
    <mergeCell ref="B6:C6"/>
    <mergeCell ref="B5:C5"/>
    <mergeCell ref="C17:D17"/>
    <mergeCell ref="H5:I5"/>
    <mergeCell ref="C13:D13"/>
    <mergeCell ref="C16:D16"/>
    <mergeCell ref="B9:D9"/>
    <mergeCell ref="C12:D12"/>
    <mergeCell ref="E6:F6"/>
    <mergeCell ref="C11:D11"/>
    <mergeCell ref="C15:D15"/>
    <mergeCell ref="E5:F5"/>
    <mergeCell ref="K5:L5"/>
    <mergeCell ref="C14:D14"/>
    <mergeCell ref="H6:I6"/>
    <mergeCell ref="C10:D10"/>
    <mergeCell ref="K6:L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8"/>
  <sheetViews>
    <sheetView workbookViewId="0">
      <pane ySplit="3" topLeftCell="A4" activePane="bottomLeft" state="frozen"/>
      <selection pane="bottomLeft" activeCell="L13" sqref="L13"/>
    </sheetView>
  </sheetViews>
  <sheetFormatPr defaultColWidth="14.44140625" defaultRowHeight="15" customHeight="1"/>
  <cols>
    <col min="1" max="1" width="20.109375" bestFit="1" customWidth="1"/>
    <col min="2" max="6" width="14" customWidth="1"/>
    <col min="7" max="7" width="16" customWidth="1"/>
    <col min="8" max="8" width="14" customWidth="1"/>
    <col min="9" max="9" width="32" customWidth="1"/>
  </cols>
  <sheetData>
    <row r="1" spans="1:9" ht="21">
      <c r="A1" s="16" t="s">
        <v>25</v>
      </c>
      <c r="B1" s="14"/>
      <c r="C1" s="14"/>
      <c r="D1" s="14"/>
      <c r="E1" s="14"/>
      <c r="F1" s="14"/>
      <c r="G1" s="14"/>
      <c r="H1" s="14"/>
      <c r="I1" s="14"/>
    </row>
    <row r="3" spans="1:9" ht="15" customHeigh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10</v>
      </c>
      <c r="G3" s="1" t="s">
        <v>19</v>
      </c>
      <c r="H3" s="1" t="s">
        <v>20</v>
      </c>
      <c r="I3" s="1" t="s">
        <v>21</v>
      </c>
    </row>
    <row r="4" spans="1:9" ht="14.4">
      <c r="A4" s="2">
        <v>1</v>
      </c>
      <c r="B4" s="2"/>
      <c r="C4" s="3">
        <v>0</v>
      </c>
      <c r="D4" s="3">
        <v>0</v>
      </c>
      <c r="E4" s="3">
        <v>0</v>
      </c>
      <c r="F4" s="3">
        <f t="shared" ref="F4:F23" si="0">D4-E4</f>
        <v>0</v>
      </c>
      <c r="G4" s="3">
        <v>0</v>
      </c>
      <c r="H4" s="3">
        <f>C4+F4-G4</f>
        <v>0</v>
      </c>
      <c r="I4" s="2"/>
    </row>
    <row r="5" spans="1:9" ht="14.4">
      <c r="A5" s="2">
        <v>2</v>
      </c>
      <c r="B5" s="2"/>
      <c r="C5" s="3">
        <v>0</v>
      </c>
      <c r="D5" s="3">
        <v>0</v>
      </c>
      <c r="E5" s="3">
        <v>0</v>
      </c>
      <c r="F5" s="3">
        <f t="shared" si="0"/>
        <v>0</v>
      </c>
      <c r="G5" s="3">
        <v>0</v>
      </c>
      <c r="H5" s="3">
        <f>H4+C5+F5-G5</f>
        <v>0</v>
      </c>
      <c r="I5" s="2"/>
    </row>
    <row r="6" spans="1:9" ht="14.4">
      <c r="A6" s="2">
        <v>3</v>
      </c>
      <c r="B6" s="2"/>
      <c r="C6" s="3">
        <v>0</v>
      </c>
      <c r="D6" s="3">
        <v>0</v>
      </c>
      <c r="E6" s="3">
        <v>0</v>
      </c>
      <c r="F6" s="3">
        <f t="shared" si="0"/>
        <v>0</v>
      </c>
      <c r="G6" s="3">
        <v>0</v>
      </c>
      <c r="H6" s="3">
        <f>H5+C6+F6-G6</f>
        <v>0</v>
      </c>
      <c r="I6" s="2"/>
    </row>
    <row r="7" spans="1:9" ht="14.4">
      <c r="A7" s="2">
        <v>4</v>
      </c>
      <c r="B7" s="2"/>
      <c r="C7" s="3">
        <v>0</v>
      </c>
      <c r="D7" s="3">
        <v>0</v>
      </c>
      <c r="E7" s="3">
        <v>0</v>
      </c>
      <c r="F7" s="3">
        <f t="shared" si="0"/>
        <v>0</v>
      </c>
      <c r="G7" s="3">
        <v>0</v>
      </c>
      <c r="H7" s="3">
        <f>H6+C7+F7-G7</f>
        <v>0</v>
      </c>
      <c r="I7" s="2"/>
    </row>
    <row r="8" spans="1:9" ht="14.4">
      <c r="A8" s="2">
        <v>5</v>
      </c>
      <c r="B8" s="2"/>
      <c r="C8" s="3">
        <v>0</v>
      </c>
      <c r="D8" s="3">
        <v>0</v>
      </c>
      <c r="E8" s="3">
        <v>0</v>
      </c>
      <c r="F8" s="3">
        <f t="shared" si="0"/>
        <v>0</v>
      </c>
      <c r="G8" s="3">
        <v>0</v>
      </c>
      <c r="H8" s="3">
        <f>H7+C8+F8-G8</f>
        <v>0</v>
      </c>
      <c r="I8" s="2"/>
    </row>
    <row r="9" spans="1:9" ht="14.4">
      <c r="A9" s="2">
        <v>6</v>
      </c>
      <c r="B9" s="2"/>
      <c r="C9" s="3">
        <v>0</v>
      </c>
      <c r="D9" s="3">
        <v>0</v>
      </c>
      <c r="E9" s="3">
        <v>0</v>
      </c>
      <c r="F9" s="3">
        <f t="shared" si="0"/>
        <v>0</v>
      </c>
      <c r="G9" s="3">
        <v>0</v>
      </c>
      <c r="H9" s="3">
        <f>H8+C9+F9-G9</f>
        <v>0</v>
      </c>
      <c r="I9" s="2"/>
    </row>
    <row r="10" spans="1:9" ht="14.4">
      <c r="A10" s="2">
        <v>7</v>
      </c>
      <c r="B10" s="2"/>
      <c r="C10" s="3">
        <v>0</v>
      </c>
      <c r="D10" s="3">
        <v>0</v>
      </c>
      <c r="E10" s="3">
        <v>0</v>
      </c>
      <c r="F10" s="3">
        <f t="shared" si="0"/>
        <v>0</v>
      </c>
      <c r="G10" s="3">
        <v>0</v>
      </c>
      <c r="H10" s="3">
        <f>H9+C10+F10-G10</f>
        <v>0</v>
      </c>
      <c r="I10" s="2"/>
    </row>
    <row r="11" spans="1:9" ht="14.4">
      <c r="A11" s="2">
        <v>8</v>
      </c>
      <c r="B11" s="2"/>
      <c r="C11" s="3">
        <v>0</v>
      </c>
      <c r="D11" s="3">
        <v>0</v>
      </c>
      <c r="E11" s="3">
        <v>0</v>
      </c>
      <c r="F11" s="3">
        <f t="shared" si="0"/>
        <v>0</v>
      </c>
      <c r="G11" s="3">
        <v>0</v>
      </c>
      <c r="H11" s="3">
        <f>H10+C11+F11-G11</f>
        <v>0</v>
      </c>
      <c r="I11" s="2"/>
    </row>
    <row r="12" spans="1:9" ht="14.4">
      <c r="A12" s="2">
        <v>9</v>
      </c>
      <c r="B12" s="2"/>
      <c r="C12" s="3">
        <v>0</v>
      </c>
      <c r="D12" s="3">
        <v>0</v>
      </c>
      <c r="E12" s="3">
        <v>0</v>
      </c>
      <c r="F12" s="3">
        <f t="shared" si="0"/>
        <v>0</v>
      </c>
      <c r="G12" s="3">
        <v>0</v>
      </c>
      <c r="H12" s="3">
        <f>H11+C12+F12-G12</f>
        <v>0</v>
      </c>
      <c r="I12" s="2"/>
    </row>
    <row r="13" spans="1:9" ht="14.4">
      <c r="A13" s="2">
        <v>10</v>
      </c>
      <c r="B13" s="2"/>
      <c r="C13" s="3">
        <v>0</v>
      </c>
      <c r="D13" s="3">
        <v>0</v>
      </c>
      <c r="E13" s="3">
        <v>0</v>
      </c>
      <c r="F13" s="3">
        <f t="shared" si="0"/>
        <v>0</v>
      </c>
      <c r="G13" s="3">
        <v>0</v>
      </c>
      <c r="H13" s="3">
        <f>H12+C13+F13-G13</f>
        <v>0</v>
      </c>
      <c r="I13" s="2"/>
    </row>
    <row r="14" spans="1:9" ht="14.4">
      <c r="A14" s="2">
        <v>11</v>
      </c>
      <c r="B14" s="2"/>
      <c r="C14" s="3">
        <v>0</v>
      </c>
      <c r="D14" s="3">
        <v>0</v>
      </c>
      <c r="E14" s="3">
        <v>0</v>
      </c>
      <c r="F14" s="3">
        <f t="shared" si="0"/>
        <v>0</v>
      </c>
      <c r="G14" s="3">
        <v>0</v>
      </c>
      <c r="H14" s="3">
        <f>H13+C14+F14-G14</f>
        <v>0</v>
      </c>
      <c r="I14" s="2"/>
    </row>
    <row r="15" spans="1:9" ht="14.4">
      <c r="A15" s="2">
        <v>12</v>
      </c>
      <c r="B15" s="2"/>
      <c r="C15" s="3">
        <v>0</v>
      </c>
      <c r="D15" s="3">
        <v>0</v>
      </c>
      <c r="E15" s="3">
        <v>0</v>
      </c>
      <c r="F15" s="3">
        <f t="shared" si="0"/>
        <v>0</v>
      </c>
      <c r="G15" s="3">
        <v>0</v>
      </c>
      <c r="H15" s="3">
        <f>H14+C15+F15-G15</f>
        <v>0</v>
      </c>
      <c r="I15" s="2"/>
    </row>
    <row r="16" spans="1:9" ht="14.4">
      <c r="A16" s="2">
        <v>13</v>
      </c>
      <c r="B16" s="2"/>
      <c r="C16" s="3">
        <v>0</v>
      </c>
      <c r="D16" s="3">
        <v>0</v>
      </c>
      <c r="E16" s="3">
        <v>0</v>
      </c>
      <c r="F16" s="3">
        <f t="shared" si="0"/>
        <v>0</v>
      </c>
      <c r="G16" s="3">
        <v>0</v>
      </c>
      <c r="H16" s="3">
        <f>H15+C16+F16-G16</f>
        <v>0</v>
      </c>
      <c r="I16" s="2"/>
    </row>
    <row r="17" spans="1:9" ht="14.4">
      <c r="A17" s="2">
        <v>14</v>
      </c>
      <c r="B17" s="2"/>
      <c r="C17" s="3">
        <v>0</v>
      </c>
      <c r="D17" s="3">
        <v>0</v>
      </c>
      <c r="E17" s="3">
        <v>0</v>
      </c>
      <c r="F17" s="3">
        <f t="shared" si="0"/>
        <v>0</v>
      </c>
      <c r="G17" s="3">
        <v>0</v>
      </c>
      <c r="H17" s="3">
        <f>H16+C17+F17-G17</f>
        <v>0</v>
      </c>
      <c r="I17" s="2"/>
    </row>
    <row r="18" spans="1:9" ht="14.4">
      <c r="A18" s="2">
        <v>15</v>
      </c>
      <c r="B18" s="2"/>
      <c r="C18" s="3">
        <v>0</v>
      </c>
      <c r="D18" s="3">
        <v>0</v>
      </c>
      <c r="E18" s="3">
        <v>0</v>
      </c>
      <c r="F18" s="3">
        <f t="shared" si="0"/>
        <v>0</v>
      </c>
      <c r="G18" s="3">
        <v>0</v>
      </c>
      <c r="H18" s="3">
        <f>H17+C18+F18-G18</f>
        <v>0</v>
      </c>
      <c r="I18" s="2"/>
    </row>
    <row r="19" spans="1:9" ht="14.4">
      <c r="A19" s="2">
        <v>16</v>
      </c>
      <c r="B19" s="2"/>
      <c r="C19" s="3">
        <v>0</v>
      </c>
      <c r="D19" s="3">
        <v>0</v>
      </c>
      <c r="E19" s="3">
        <v>0</v>
      </c>
      <c r="F19" s="3">
        <f t="shared" si="0"/>
        <v>0</v>
      </c>
      <c r="G19" s="3">
        <v>0</v>
      </c>
      <c r="H19" s="3">
        <f>H18+C19+F19-G19</f>
        <v>0</v>
      </c>
      <c r="I19" s="2"/>
    </row>
    <row r="20" spans="1:9" ht="14.4">
      <c r="A20" s="2">
        <v>17</v>
      </c>
      <c r="B20" s="2"/>
      <c r="C20" s="3">
        <v>0</v>
      </c>
      <c r="D20" s="3">
        <v>0</v>
      </c>
      <c r="E20" s="3">
        <v>0</v>
      </c>
      <c r="F20" s="3">
        <f t="shared" si="0"/>
        <v>0</v>
      </c>
      <c r="G20" s="3">
        <v>0</v>
      </c>
      <c r="H20" s="3">
        <f>H19+C20+F20-G20</f>
        <v>0</v>
      </c>
      <c r="I20" s="2"/>
    </row>
    <row r="21" spans="1:9" ht="15.75" customHeight="1">
      <c r="A21" s="2">
        <v>18</v>
      </c>
      <c r="B21" s="2"/>
      <c r="C21" s="3">
        <v>0</v>
      </c>
      <c r="D21" s="3">
        <v>0</v>
      </c>
      <c r="E21" s="3">
        <v>0</v>
      </c>
      <c r="F21" s="3">
        <f t="shared" si="0"/>
        <v>0</v>
      </c>
      <c r="G21" s="3">
        <v>0</v>
      </c>
      <c r="H21" s="3">
        <f>H20+C21+F21-G21</f>
        <v>0</v>
      </c>
      <c r="I21" s="2"/>
    </row>
    <row r="22" spans="1:9" ht="15.75" customHeight="1">
      <c r="A22" s="2">
        <v>19</v>
      </c>
      <c r="B22" s="2"/>
      <c r="C22" s="3">
        <v>0</v>
      </c>
      <c r="D22" s="3">
        <v>0</v>
      </c>
      <c r="E22" s="3">
        <v>0</v>
      </c>
      <c r="F22" s="3">
        <f t="shared" si="0"/>
        <v>0</v>
      </c>
      <c r="G22" s="3">
        <v>0</v>
      </c>
      <c r="H22" s="3">
        <f>H21+C22+F22-G22</f>
        <v>0</v>
      </c>
      <c r="I22" s="2"/>
    </row>
    <row r="23" spans="1:9" ht="15.75" customHeight="1">
      <c r="A23" s="2">
        <v>20</v>
      </c>
      <c r="B23" s="2"/>
      <c r="C23" s="3">
        <v>0</v>
      </c>
      <c r="D23" s="3">
        <v>0</v>
      </c>
      <c r="E23" s="3">
        <v>0</v>
      </c>
      <c r="F23" s="3">
        <f t="shared" si="0"/>
        <v>0</v>
      </c>
      <c r="G23" s="3">
        <v>0</v>
      </c>
      <c r="H23" s="3">
        <f>H22+C23+F23-G23</f>
        <v>0</v>
      </c>
      <c r="I23" s="2"/>
    </row>
    <row r="24" spans="1:9" ht="15.75" customHeight="1"/>
    <row r="25" spans="1:9" ht="15.75" customHeight="1"/>
    <row r="26" spans="1:9" ht="15.75" customHeight="1">
      <c r="A26" s="4" t="s">
        <v>22</v>
      </c>
    </row>
    <row r="27" spans="1:9" ht="15.75" customHeight="1"/>
    <row r="28" spans="1:9" ht="15.75" customHeight="1">
      <c r="A28" s="5" t="s">
        <v>6</v>
      </c>
      <c r="B28" s="6">
        <f>SUM(C4:C23)</f>
        <v>0</v>
      </c>
    </row>
    <row r="29" spans="1:9" ht="15.75" customHeight="1">
      <c r="A29" s="5" t="s">
        <v>8</v>
      </c>
      <c r="B29" s="6">
        <f>SUM(D4:D23)</f>
        <v>0</v>
      </c>
    </row>
    <row r="30" spans="1:9" ht="15.75" customHeight="1">
      <c r="A30" s="5" t="s">
        <v>9</v>
      </c>
      <c r="B30" s="6">
        <f>SUM(E4:E23)</f>
        <v>0</v>
      </c>
    </row>
    <row r="31" spans="1:9" ht="15.75" customHeight="1">
      <c r="A31" s="5" t="s">
        <v>10</v>
      </c>
      <c r="B31" s="6">
        <f>SUM(F4:F23)</f>
        <v>0</v>
      </c>
    </row>
    <row r="32" spans="1:9" ht="15.75" customHeight="1">
      <c r="A32" s="5" t="s">
        <v>7</v>
      </c>
      <c r="B32" s="6">
        <f>SUM(G4:G23)</f>
        <v>0</v>
      </c>
    </row>
    <row r="33" spans="1:2" ht="15.75" customHeight="1">
      <c r="A33" s="5" t="s">
        <v>24</v>
      </c>
      <c r="B33" s="6">
        <f>H23</f>
        <v>0</v>
      </c>
    </row>
    <row r="34" spans="1:2" ht="15.75" customHeight="1">
      <c r="A34" s="5" t="s">
        <v>11</v>
      </c>
      <c r="B34" s="17">
        <f>COUNTIF(F4:F23,"&gt;0")</f>
        <v>0</v>
      </c>
    </row>
    <row r="35" spans="1:2" ht="15.75" customHeight="1">
      <c r="A35" s="5" t="s">
        <v>12</v>
      </c>
      <c r="B35" s="17">
        <f>COUNTIF(F4:F23,"&lt;0")</f>
        <v>0</v>
      </c>
    </row>
    <row r="36" spans="1:2" ht="15.75" customHeight="1"/>
    <row r="37" spans="1:2" ht="15.75" customHeight="1">
      <c r="A37" s="5" t="s">
        <v>23</v>
      </c>
      <c r="B37" s="6">
        <f>C4</f>
        <v>0</v>
      </c>
    </row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autoFilter ref="A3:I23" xr:uid="{00000000-0009-0000-0000-000001000000}"/>
  <mergeCells count="1">
    <mergeCell ref="A1:I1"/>
  </mergeCells>
  <conditionalFormatting sqref="F4:F2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Trading 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shahrul azahari</cp:lastModifiedBy>
  <dcterms:created xsi:type="dcterms:W3CDTF">2026-10-05T18:16:34Z</dcterms:created>
  <dcterms:modified xsi:type="dcterms:W3CDTF">2026-10-06T09:40:22Z</dcterms:modified>
</cp:coreProperties>
</file>